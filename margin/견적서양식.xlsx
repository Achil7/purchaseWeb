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\Desktop\purchaseweb\견적서\"/>
    </mc:Choice>
  </mc:AlternateContent>
  <xr:revisionPtr revIDLastSave="0" documentId="13_ncr:1_{B1296938-124E-441E-8208-9E7A08D28941}" xr6:coauthVersionLast="47" xr6:coauthVersionMax="47" xr10:uidLastSave="{00000000-0000-0000-0000-000000000000}"/>
  <bookViews>
    <workbookView xWindow="-108" yWindow="-108" windowWidth="23256" windowHeight="12456" xr2:uid="{FD7DFB96-128F-4EF5-B0F8-52582ADA67B9}"/>
  </bookViews>
  <sheets>
    <sheet name="견적서" sheetId="1" r:id="rId1"/>
  </sheets>
  <definedNames>
    <definedName name="_xlnm.Print_Area" localSheetId="0">견적서!$A$1:$F$35</definedName>
    <definedName name="단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F23" i="1"/>
  <c r="F22" i="1"/>
  <c r="F21" i="1"/>
  <c r="F17" i="1"/>
  <c r="F16" i="1"/>
  <c r="F15" i="1"/>
  <c r="F14" i="1"/>
  <c r="F24" i="1" l="1"/>
  <c r="F25" i="1" s="1"/>
  <c r="F26" i="1" s="1"/>
  <c r="D11" i="1" s="1"/>
  <c r="F2" i="1"/>
</calcChain>
</file>

<file path=xl/sharedStrings.xml><?xml version="1.0" encoding="utf-8"?>
<sst xmlns="http://schemas.openxmlformats.org/spreadsheetml/2006/main" count="40" uniqueCount="33">
  <si>
    <t>TEL</t>
    <phoneticPr fontId="2" type="noConversion"/>
  </si>
  <si>
    <t>담당자</t>
    <phoneticPr fontId="2" type="noConversion"/>
  </si>
  <si>
    <t>이메일</t>
    <phoneticPr fontId="2" type="noConversion"/>
  </si>
  <si>
    <t>작성일자</t>
    <phoneticPr fontId="2" type="noConversion"/>
  </si>
  <si>
    <t>아래와 같이 견적드립니다.</t>
    <phoneticPr fontId="2" type="noConversion"/>
  </si>
  <si>
    <t>견  적  서</t>
    <phoneticPr fontId="2" type="noConversion"/>
  </si>
  <si>
    <t>Company Information</t>
    <phoneticPr fontId="2" type="noConversion"/>
  </si>
  <si>
    <t>Agency Information</t>
    <phoneticPr fontId="2" type="noConversion"/>
  </si>
  <si>
    <t>대표자명</t>
    <phoneticPr fontId="2" type="noConversion"/>
  </si>
  <si>
    <t>김민근</t>
    <phoneticPr fontId="2" type="noConversion"/>
  </si>
  <si>
    <t>총 합계금액</t>
    <phoneticPr fontId="2" type="noConversion"/>
  </si>
  <si>
    <t xml:space="preserve"> · 견적유효기간 : 작성 후 20일 이내</t>
    <phoneticPr fontId="2" type="noConversion"/>
  </si>
  <si>
    <t xml:space="preserve"> Information</t>
    <phoneticPr fontId="2" type="noConversion"/>
  </si>
  <si>
    <t xml:space="preserve"> · 결제조건 : 선결제</t>
    <phoneticPr fontId="2" type="noConversion"/>
  </si>
  <si>
    <t>강우애드 (Kangwoo AD)</t>
    <phoneticPr fontId="2" type="noConversion"/>
  </si>
  <si>
    <t>kangwooco@naver.com</t>
    <phoneticPr fontId="2" type="noConversion"/>
  </si>
  <si>
    <t xml:space="preserve"> · 세금계산서 발행시 사업자등록증 회신부탁드립니다.</t>
    <phoneticPr fontId="2" type="noConversion"/>
  </si>
  <si>
    <t>품명</t>
    <phoneticPr fontId="2" type="noConversion"/>
  </si>
  <si>
    <t>규격</t>
    <phoneticPr fontId="2" type="noConversion"/>
  </si>
  <si>
    <t>수량</t>
    <phoneticPr fontId="2" type="noConversion"/>
  </si>
  <si>
    <t>단가</t>
    <phoneticPr fontId="2" type="noConversion"/>
  </si>
  <si>
    <t>총액</t>
    <phoneticPr fontId="2" type="noConversion"/>
  </si>
  <si>
    <t>공급가총액</t>
    <phoneticPr fontId="2" type="noConversion"/>
  </si>
  <si>
    <t>부가세</t>
    <phoneticPr fontId="2" type="noConversion"/>
  </si>
  <si>
    <t>합계금액</t>
    <phoneticPr fontId="2" type="noConversion"/>
  </si>
  <si>
    <t>EA</t>
    <phoneticPr fontId="2" type="noConversion"/>
  </si>
  <si>
    <t xml:space="preserve"> · 입금계좌안내 : 국민은행 893801-00-104943 김민근(강우메이커스)</t>
    <phoneticPr fontId="2" type="noConversion"/>
  </si>
  <si>
    <t>택배대행</t>
    <phoneticPr fontId="2" type="noConversion"/>
  </si>
  <si>
    <t>예시</t>
    <phoneticPr fontId="2" type="noConversion"/>
  </si>
  <si>
    <t>010-6425-0328</t>
    <phoneticPr fontId="2" type="noConversion"/>
  </si>
  <si>
    <t>구매평 서비스</t>
    <phoneticPr fontId="2" type="noConversion"/>
  </si>
  <si>
    <t>제품명</t>
    <phoneticPr fontId="2" type="noConversion"/>
  </si>
  <si>
    <t>기타작업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</si>
</sst>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&quot;년&quot;\ m&quot;월&quot;\ d&quot;일&quot;;@"/>
    <numFmt numFmtId="177" formatCode="#,##0&quot;원&quot;"/>
    <numFmt numFmtId="178" formatCode="#,##0&quot;원 (부가세 포함)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>
      <alignment vertical="center"/>
    </xf>
    <xf numFmtId="0" fontId="9" fillId="3" borderId="0" xfId="0" applyFont="1" applyFill="1">
      <alignment vertical="center"/>
    </xf>
    <xf numFmtId="176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7" fontId="6" fillId="0" borderId="2" xfId="1" applyNumberFormat="1" applyFont="1" applyBorder="1" applyAlignment="1">
      <alignment vertical="center" shrinkToFit="1"/>
    </xf>
    <xf numFmtId="0" fontId="6" fillId="0" borderId="16" xfId="0" applyFont="1" applyBorder="1" applyAlignment="1">
      <alignment horizontal="center" vertical="center" shrinkToFit="1"/>
    </xf>
    <xf numFmtId="41" fontId="6" fillId="0" borderId="16" xfId="1" applyFont="1" applyBorder="1" applyAlignment="1">
      <alignment horizontal="center" vertical="center" shrinkToFit="1"/>
    </xf>
    <xf numFmtId="177" fontId="6" fillId="0" borderId="12" xfId="1" applyNumberFormat="1" applyFont="1" applyBorder="1" applyAlignment="1">
      <alignment vertical="center" shrinkToFit="1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shrinkToFit="1"/>
    </xf>
    <xf numFmtId="41" fontId="6" fillId="0" borderId="18" xfId="1" applyFont="1" applyBorder="1" applyAlignment="1">
      <alignment horizontal="center" vertical="center" shrinkToFit="1"/>
    </xf>
    <xf numFmtId="177" fontId="10" fillId="0" borderId="2" xfId="1" applyNumberFormat="1" applyFont="1" applyBorder="1" applyAlignment="1">
      <alignment vertical="center" shrinkToFit="1"/>
    </xf>
    <xf numFmtId="177" fontId="10" fillId="0" borderId="21" xfId="1" applyNumberFormat="1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7" fillId="3" borderId="0" xfId="0" applyNumberFormat="1" applyFont="1" applyFill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shrinkToFit="1"/>
    </xf>
  </cellXfs>
  <cellStyles count="4">
    <cellStyle name="쉼표 [0]" xfId="1" builtinId="6"/>
    <cellStyle name="쉼표 [0] 2" xfId="3" xr:uid="{B31CD6F4-3185-4A30-B7A4-91D0059FF69F}"/>
    <cellStyle name="표준" xfId="0" builtinId="0"/>
    <cellStyle name="표준 2" xfId="2" xr:uid="{B3D5D7A5-F5F1-4A9F-B568-DD03DE0AC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668A-366B-4C3E-86BD-6B4C3DAB7683}">
  <sheetPr>
    <pageSetUpPr fitToPage="1"/>
  </sheetPr>
  <dimension ref="A1:F35"/>
  <sheetViews>
    <sheetView tabSelected="1" topLeftCell="A2" zoomScale="55" zoomScaleNormal="55" workbookViewId="0">
      <selection activeCell="D18" sqref="D18"/>
    </sheetView>
  </sheetViews>
  <sheetFormatPr defaultColWidth="9" defaultRowHeight="17.399999999999999" x14ac:dyDescent="0.4"/>
  <cols>
    <col min="1" max="2" width="23.59765625" style="4" customWidth="1"/>
    <col min="3" max="4" width="7.59765625" style="4" customWidth="1"/>
    <col min="5" max="5" width="16.59765625" style="4" customWidth="1"/>
    <col min="6" max="6" width="23.59765625" style="4" customWidth="1"/>
    <col min="7" max="16384" width="9" style="4"/>
  </cols>
  <sheetData>
    <row r="1" spans="1:6" ht="30" customHeight="1" x14ac:dyDescent="0.4">
      <c r="A1" s="31"/>
      <c r="B1" s="27" t="s">
        <v>5</v>
      </c>
      <c r="C1" s="28"/>
      <c r="D1" s="28"/>
      <c r="E1" s="28"/>
      <c r="F1" s="9" t="s">
        <v>3</v>
      </c>
    </row>
    <row r="2" spans="1:6" ht="69.900000000000006" customHeight="1" thickBot="1" x14ac:dyDescent="0.45">
      <c r="A2" s="32"/>
      <c r="B2" s="29"/>
      <c r="C2" s="30"/>
      <c r="D2" s="30"/>
      <c r="E2" s="30"/>
      <c r="F2" s="8">
        <f ca="1">TODAY()</f>
        <v>46043</v>
      </c>
    </row>
    <row r="3" spans="1:6" ht="20.100000000000001" customHeight="1" thickBot="1" x14ac:dyDescent="0.45"/>
    <row r="4" spans="1:6" ht="22.5" customHeight="1" thickBot="1" x14ac:dyDescent="0.45">
      <c r="A4" s="34" t="s">
        <v>6</v>
      </c>
      <c r="B4" s="34"/>
      <c r="D4" s="34" t="s">
        <v>7</v>
      </c>
      <c r="E4" s="34"/>
      <c r="F4" s="34"/>
    </row>
    <row r="5" spans="1:6" s="1" customFormat="1" ht="33" customHeight="1" x14ac:dyDescent="0.4">
      <c r="A5" s="33" t="s">
        <v>28</v>
      </c>
      <c r="B5" s="33"/>
      <c r="D5" s="33" t="s">
        <v>14</v>
      </c>
      <c r="E5" s="33"/>
      <c r="F5" s="33"/>
    </row>
    <row r="6" spans="1:6" ht="24.9" customHeight="1" x14ac:dyDescent="0.4">
      <c r="A6" s="2" t="s">
        <v>1</v>
      </c>
      <c r="B6" s="2" t="s">
        <v>28</v>
      </c>
      <c r="D6" s="35" t="s">
        <v>8</v>
      </c>
      <c r="E6" s="35"/>
      <c r="F6" s="2" t="s">
        <v>9</v>
      </c>
    </row>
    <row r="7" spans="1:6" ht="24.9" customHeight="1" x14ac:dyDescent="0.4">
      <c r="A7" s="2" t="s">
        <v>0</v>
      </c>
      <c r="B7" s="2"/>
      <c r="D7" s="35" t="s">
        <v>1</v>
      </c>
      <c r="E7" s="35"/>
      <c r="F7" s="2"/>
    </row>
    <row r="8" spans="1:6" ht="24.9" customHeight="1" x14ac:dyDescent="0.4">
      <c r="A8" s="2" t="s">
        <v>2</v>
      </c>
      <c r="B8" s="2"/>
      <c r="D8" s="35" t="s">
        <v>0</v>
      </c>
      <c r="E8" s="35"/>
      <c r="F8" s="2" t="s">
        <v>29</v>
      </c>
    </row>
    <row r="9" spans="1:6" ht="24.9" customHeight="1" thickBot="1" x14ac:dyDescent="0.45">
      <c r="A9" s="22" t="s">
        <v>4</v>
      </c>
      <c r="B9" s="22"/>
      <c r="D9" s="22" t="s">
        <v>2</v>
      </c>
      <c r="E9" s="22"/>
      <c r="F9" s="3" t="s">
        <v>15</v>
      </c>
    </row>
    <row r="10" spans="1:6" ht="9.9" customHeight="1" x14ac:dyDescent="0.4">
      <c r="A10" s="5"/>
      <c r="B10" s="5"/>
    </row>
    <row r="11" spans="1:6" ht="30" customHeight="1" x14ac:dyDescent="0.4">
      <c r="A11" s="26" t="s">
        <v>10</v>
      </c>
      <c r="B11" s="26"/>
      <c r="C11" s="7"/>
      <c r="D11" s="23">
        <f>F26</f>
        <v>16720</v>
      </c>
      <c r="E11" s="23"/>
      <c r="F11" s="23"/>
    </row>
    <row r="12" spans="1:6" ht="9.9" customHeight="1" x14ac:dyDescent="0.4"/>
    <row r="13" spans="1:6" ht="24.9" customHeight="1" x14ac:dyDescent="0.4">
      <c r="A13" s="24" t="s">
        <v>17</v>
      </c>
      <c r="B13" s="25"/>
      <c r="C13" s="14" t="s">
        <v>18</v>
      </c>
      <c r="D13" s="14" t="s">
        <v>19</v>
      </c>
      <c r="E13" s="14" t="s">
        <v>20</v>
      </c>
      <c r="F13" s="15" t="s">
        <v>21</v>
      </c>
    </row>
    <row r="14" spans="1:6" ht="24.9" customHeight="1" x14ac:dyDescent="0.4">
      <c r="A14" s="37" t="s">
        <v>30</v>
      </c>
      <c r="B14" s="38"/>
      <c r="C14" s="16" t="s">
        <v>25</v>
      </c>
      <c r="D14" s="17">
        <v>1</v>
      </c>
      <c r="E14" s="17">
        <v>2000</v>
      </c>
      <c r="F14" s="13">
        <f>D14*E14</f>
        <v>2000</v>
      </c>
    </row>
    <row r="15" spans="1:6" ht="24.9" customHeight="1" x14ac:dyDescent="0.4">
      <c r="A15" s="20" t="s">
        <v>31</v>
      </c>
      <c r="B15" s="21"/>
      <c r="C15" s="16" t="s">
        <v>25</v>
      </c>
      <c r="D15" s="12">
        <v>1</v>
      </c>
      <c r="E15" s="12">
        <v>10000</v>
      </c>
      <c r="F15" s="10">
        <f t="shared" ref="F15:F23" si="0">D15*E15</f>
        <v>10000</v>
      </c>
    </row>
    <row r="16" spans="1:6" ht="24.9" customHeight="1" x14ac:dyDescent="0.4">
      <c r="A16" s="20" t="s">
        <v>27</v>
      </c>
      <c r="B16" s="21"/>
      <c r="C16" s="16" t="s">
        <v>25</v>
      </c>
      <c r="D16" s="12">
        <v>1</v>
      </c>
      <c r="E16" s="12">
        <v>3000</v>
      </c>
      <c r="F16" s="10">
        <f t="shared" si="0"/>
        <v>3000</v>
      </c>
    </row>
    <row r="17" spans="1:6" ht="24.9" customHeight="1" x14ac:dyDescent="0.4">
      <c r="A17" s="20" t="s">
        <v>32</v>
      </c>
      <c r="B17" s="21"/>
      <c r="C17" s="16" t="s">
        <v>25</v>
      </c>
      <c r="D17" s="12">
        <v>1</v>
      </c>
      <c r="E17" s="12">
        <v>200</v>
      </c>
      <c r="F17" s="10">
        <f t="shared" si="0"/>
        <v>200</v>
      </c>
    </row>
    <row r="18" spans="1:6" ht="24.9" customHeight="1" x14ac:dyDescent="0.4">
      <c r="A18" s="20"/>
      <c r="B18" s="21"/>
      <c r="C18" s="11"/>
      <c r="D18" s="12"/>
      <c r="E18" s="12"/>
      <c r="F18" s="10">
        <f t="shared" ref="F18:F20" si="1">D18*E18</f>
        <v>0</v>
      </c>
    </row>
    <row r="19" spans="1:6" ht="24.9" customHeight="1" x14ac:dyDescent="0.4">
      <c r="A19" s="20"/>
      <c r="B19" s="21"/>
      <c r="C19" s="11"/>
      <c r="D19" s="12"/>
      <c r="E19" s="12"/>
      <c r="F19" s="10">
        <f t="shared" si="1"/>
        <v>0</v>
      </c>
    </row>
    <row r="20" spans="1:6" ht="24.9" customHeight="1" x14ac:dyDescent="0.4">
      <c r="A20" s="20"/>
      <c r="B20" s="21"/>
      <c r="C20" s="11"/>
      <c r="D20" s="12"/>
      <c r="E20" s="12"/>
      <c r="F20" s="10">
        <f t="shared" si="1"/>
        <v>0</v>
      </c>
    </row>
    <row r="21" spans="1:6" ht="24.9" customHeight="1" x14ac:dyDescent="0.4">
      <c r="A21" s="20"/>
      <c r="B21" s="21"/>
      <c r="C21" s="11"/>
      <c r="D21" s="12"/>
      <c r="E21" s="12"/>
      <c r="F21" s="10">
        <f t="shared" si="0"/>
        <v>0</v>
      </c>
    </row>
    <row r="22" spans="1:6" ht="24.9" customHeight="1" x14ac:dyDescent="0.4">
      <c r="A22" s="20"/>
      <c r="B22" s="21"/>
      <c r="C22" s="11"/>
      <c r="D22" s="12"/>
      <c r="E22" s="12"/>
      <c r="F22" s="10">
        <f t="shared" si="0"/>
        <v>0</v>
      </c>
    </row>
    <row r="23" spans="1:6" ht="24.9" customHeight="1" x14ac:dyDescent="0.4">
      <c r="A23" s="20"/>
      <c r="B23" s="21"/>
      <c r="C23" s="11"/>
      <c r="D23" s="12"/>
      <c r="E23" s="12"/>
      <c r="F23" s="10">
        <f t="shared" si="0"/>
        <v>0</v>
      </c>
    </row>
    <row r="24" spans="1:6" ht="24.9" customHeight="1" x14ac:dyDescent="0.4">
      <c r="A24" s="20"/>
      <c r="B24" s="21"/>
      <c r="C24" s="39" t="s">
        <v>22</v>
      </c>
      <c r="D24" s="39"/>
      <c r="E24" s="39"/>
      <c r="F24" s="18">
        <f>SUM(F14:F23)</f>
        <v>15200</v>
      </c>
    </row>
    <row r="25" spans="1:6" ht="24.9" customHeight="1" x14ac:dyDescent="0.4">
      <c r="A25" s="20"/>
      <c r="B25" s="21"/>
      <c r="C25" s="39" t="s">
        <v>23</v>
      </c>
      <c r="D25" s="39"/>
      <c r="E25" s="39"/>
      <c r="F25" s="18">
        <f>F24*0.1</f>
        <v>1520</v>
      </c>
    </row>
    <row r="26" spans="1:6" ht="24.9" customHeight="1" x14ac:dyDescent="0.4">
      <c r="A26" s="40"/>
      <c r="B26" s="41"/>
      <c r="C26" s="42" t="s">
        <v>24</v>
      </c>
      <c r="D26" s="42"/>
      <c r="E26" s="42"/>
      <c r="F26" s="19">
        <f>SUM(F24:F25)</f>
        <v>16720</v>
      </c>
    </row>
    <row r="27" spans="1:6" ht="20.100000000000001" customHeight="1" thickBot="1" x14ac:dyDescent="0.45"/>
    <row r="28" spans="1:6" ht="24.9" customHeight="1" x14ac:dyDescent="0.4">
      <c r="A28" s="36" t="s">
        <v>12</v>
      </c>
      <c r="B28" s="36"/>
      <c r="C28" s="36"/>
      <c r="D28" s="36"/>
      <c r="E28" s="36"/>
      <c r="F28" s="36"/>
    </row>
    <row r="29" spans="1:6" ht="24.9" customHeight="1" x14ac:dyDescent="0.4">
      <c r="A29" s="4" t="s">
        <v>26</v>
      </c>
    </row>
    <row r="30" spans="1:6" ht="24.9" customHeight="1" x14ac:dyDescent="0.4">
      <c r="A30" s="4" t="s">
        <v>11</v>
      </c>
    </row>
    <row r="31" spans="1:6" ht="24.9" customHeight="1" x14ac:dyDescent="0.4">
      <c r="A31" s="4" t="s">
        <v>13</v>
      </c>
    </row>
    <row r="32" spans="1:6" ht="24.9" customHeight="1" x14ac:dyDescent="0.4">
      <c r="A32" s="4" t="s">
        <v>16</v>
      </c>
    </row>
    <row r="33" spans="1:6" ht="24.9" customHeight="1" x14ac:dyDescent="0.4"/>
    <row r="34" spans="1:6" ht="24.9" customHeight="1" x14ac:dyDescent="0.4"/>
    <row r="35" spans="1:6" ht="24.9" customHeight="1" thickBot="1" x14ac:dyDescent="0.45">
      <c r="A35" s="6"/>
      <c r="B35" s="6"/>
      <c r="C35" s="6"/>
      <c r="D35" s="6"/>
      <c r="E35" s="6"/>
      <c r="F35" s="6"/>
    </row>
  </sheetData>
  <mergeCells count="31">
    <mergeCell ref="A28:F28"/>
    <mergeCell ref="A14:B14"/>
    <mergeCell ref="A15:B15"/>
    <mergeCell ref="A24:B24"/>
    <mergeCell ref="C24:E24"/>
    <mergeCell ref="A25:B25"/>
    <mergeCell ref="C25:E25"/>
    <mergeCell ref="A26:B26"/>
    <mergeCell ref="C26:E26"/>
    <mergeCell ref="A18:B18"/>
    <mergeCell ref="A19:B19"/>
    <mergeCell ref="A16:B16"/>
    <mergeCell ref="A23:B23"/>
    <mergeCell ref="A17:B17"/>
    <mergeCell ref="A21:B21"/>
    <mergeCell ref="A22:B22"/>
    <mergeCell ref="B1:E2"/>
    <mergeCell ref="A1:A2"/>
    <mergeCell ref="A5:B5"/>
    <mergeCell ref="A4:B4"/>
    <mergeCell ref="A9:B9"/>
    <mergeCell ref="D4:F4"/>
    <mergeCell ref="D8:E8"/>
    <mergeCell ref="D7:E7"/>
    <mergeCell ref="D6:E6"/>
    <mergeCell ref="D5:F5"/>
    <mergeCell ref="A20:B20"/>
    <mergeCell ref="D9:E9"/>
    <mergeCell ref="D11:F11"/>
    <mergeCell ref="A13:B13"/>
    <mergeCell ref="A11:B11"/>
  </mergeCells>
  <phoneticPr fontId="2" type="noConversion"/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김주임(</dc:creator>
  <cp:lastModifiedBy>현호 이</cp:lastModifiedBy>
  <cp:lastPrinted>2024-11-12T06:59:48Z</cp:lastPrinted>
  <dcterms:created xsi:type="dcterms:W3CDTF">2024-01-11T05:40:14Z</dcterms:created>
  <dcterms:modified xsi:type="dcterms:W3CDTF">2026-01-21T10:11:21Z</dcterms:modified>
</cp:coreProperties>
</file>