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\Desktop\purchaseweb\견적서\"/>
    </mc:Choice>
  </mc:AlternateContent>
  <xr:revisionPtr revIDLastSave="0" documentId="13_ncr:1_{BE56C7B4-5D46-4B80-B1FC-5DFE19834310}" xr6:coauthVersionLast="47" xr6:coauthVersionMax="47" xr10:uidLastSave="{00000000-0000-0000-0000-000000000000}"/>
  <bookViews>
    <workbookView xWindow="-108" yWindow="-108" windowWidth="23256" windowHeight="12456" xr2:uid="{FD7DFB96-128F-4EF5-B0F8-52582ADA67B9}"/>
  </bookViews>
  <sheets>
    <sheet name="견적서" sheetId="1" r:id="rId1"/>
  </sheets>
  <definedNames>
    <definedName name="_xlnm.Print_Area" localSheetId="0">견적서!$A$1:$F$51</definedName>
    <definedName name="단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36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5" i="1"/>
  <c r="F34" i="1"/>
  <c r="F39" i="1"/>
  <c r="F38" i="1"/>
  <c r="F37" i="1"/>
  <c r="F33" i="1"/>
  <c r="F15" i="1"/>
  <c r="F14" i="1"/>
  <c r="F40" i="1" l="1"/>
  <c r="F41" i="1" s="1"/>
  <c r="F42" i="1" s="1"/>
  <c r="D11" i="1" s="1"/>
  <c r="F2" i="1"/>
</calcChain>
</file>

<file path=xl/sharedStrings.xml><?xml version="1.0" encoding="utf-8"?>
<sst xmlns="http://schemas.openxmlformats.org/spreadsheetml/2006/main" count="84" uniqueCount="56">
  <si>
    <t>TEL</t>
    <phoneticPr fontId="2" type="noConversion"/>
  </si>
  <si>
    <t>담당자</t>
    <phoneticPr fontId="2" type="noConversion"/>
  </si>
  <si>
    <t>이메일</t>
    <phoneticPr fontId="2" type="noConversion"/>
  </si>
  <si>
    <t>작성일자</t>
    <phoneticPr fontId="2" type="noConversion"/>
  </si>
  <si>
    <t>아래와 같이 견적드립니다.</t>
    <phoneticPr fontId="2" type="noConversion"/>
  </si>
  <si>
    <t>견  적  서</t>
    <phoneticPr fontId="2" type="noConversion"/>
  </si>
  <si>
    <t>Company Information</t>
    <phoneticPr fontId="2" type="noConversion"/>
  </si>
  <si>
    <t>Agency Information</t>
    <phoneticPr fontId="2" type="noConversion"/>
  </si>
  <si>
    <t>대표자명</t>
    <phoneticPr fontId="2" type="noConversion"/>
  </si>
  <si>
    <t>김민근</t>
    <phoneticPr fontId="2" type="noConversion"/>
  </si>
  <si>
    <t>총 합계금액</t>
    <phoneticPr fontId="2" type="noConversion"/>
  </si>
  <si>
    <t xml:space="preserve"> · 견적유효기간 : 작성 후 20일 이내</t>
    <phoneticPr fontId="2" type="noConversion"/>
  </si>
  <si>
    <t xml:space="preserve"> Information</t>
    <phoneticPr fontId="2" type="noConversion"/>
  </si>
  <si>
    <t xml:space="preserve"> · 결제조건 : 선결제</t>
    <phoneticPr fontId="2" type="noConversion"/>
  </si>
  <si>
    <t>강우애드 (Kangwoo AD)</t>
    <phoneticPr fontId="2" type="noConversion"/>
  </si>
  <si>
    <t>kangwooco@naver.com</t>
    <phoneticPr fontId="2" type="noConversion"/>
  </si>
  <si>
    <t xml:space="preserve"> · 세금계산서 발행시 사업자등록증 회신부탁드립니다.</t>
    <phoneticPr fontId="2" type="noConversion"/>
  </si>
  <si>
    <t>품명</t>
    <phoneticPr fontId="2" type="noConversion"/>
  </si>
  <si>
    <t>규격</t>
    <phoneticPr fontId="2" type="noConversion"/>
  </si>
  <si>
    <t>수량</t>
    <phoneticPr fontId="2" type="noConversion"/>
  </si>
  <si>
    <t>단가</t>
    <phoneticPr fontId="2" type="noConversion"/>
  </si>
  <si>
    <t>총액</t>
    <phoneticPr fontId="2" type="noConversion"/>
  </si>
  <si>
    <t>공급가총액</t>
    <phoneticPr fontId="2" type="noConversion"/>
  </si>
  <si>
    <t>부가세</t>
    <phoneticPr fontId="2" type="noConversion"/>
  </si>
  <si>
    <t>합계금액</t>
    <phoneticPr fontId="2" type="noConversion"/>
  </si>
  <si>
    <t>EA</t>
    <phoneticPr fontId="2" type="noConversion"/>
  </si>
  <si>
    <t xml:space="preserve"> · 입금계좌안내 : 국민은행 893801-00-104943 김민근(강우메이커스)</t>
    <phoneticPr fontId="2" type="noConversion"/>
  </si>
  <si>
    <t>택배대행</t>
    <phoneticPr fontId="2" type="noConversion"/>
  </si>
  <si>
    <t>010-6425-0328</t>
    <phoneticPr fontId="2" type="noConversion"/>
  </si>
  <si>
    <t>기타작업</t>
    <phoneticPr fontId="2" type="noConversion"/>
  </si>
  <si>
    <t>구매평 서비스 (쿠팡)</t>
    <phoneticPr fontId="2" type="noConversion"/>
  </si>
  <si>
    <t>제품명 (제품1)</t>
    <phoneticPr fontId="2" type="noConversion"/>
  </si>
  <si>
    <t>제품명 (제품2)</t>
  </si>
  <si>
    <t>제품명 (제품3)</t>
  </si>
  <si>
    <t>제품명 (제품4)</t>
  </si>
  <si>
    <t>제품명 (제품5)</t>
  </si>
  <si>
    <t>제품명 (제품6)</t>
  </si>
  <si>
    <t>제품명 (제품7)</t>
  </si>
  <si>
    <t>제품명 (제품9)</t>
  </si>
  <si>
    <t>제품명 (제품10)</t>
  </si>
  <si>
    <t>제품명 (제품11)</t>
  </si>
  <si>
    <t>제품명 (제품12)</t>
  </si>
  <si>
    <t>제품명 (제품13)</t>
  </si>
  <si>
    <t>제품명 (제품14)</t>
  </si>
  <si>
    <t>제품명 (제품15)</t>
  </si>
  <si>
    <t>제품명 (제품16)</t>
  </si>
  <si>
    <t>제품명 (제품17)</t>
  </si>
  <si>
    <t>제품명 (제품18)</t>
  </si>
  <si>
    <t>제품명 (제품19)</t>
  </si>
  <si>
    <t>제품명 (제품20)</t>
  </si>
  <si>
    <t>제품명 (제품21)</t>
  </si>
  <si>
    <t>제품명 (제품22)</t>
  </si>
  <si>
    <t>어댑트</t>
    <phoneticPr fontId="2" type="noConversion"/>
  </si>
  <si>
    <t>홍길동</t>
    <phoneticPr fontId="2" type="noConversion"/>
  </si>
  <si>
    <t>010-1234-5678</t>
    <phoneticPr fontId="2" type="noConversion"/>
  </si>
  <si>
    <t>example@gmail.com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</si>
</sst>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&quot;년&quot;\ m&quot;월&quot;\ d&quot;일&quot;;@"/>
    <numFmt numFmtId="177" formatCode="#,##0&quot;원&quot;"/>
    <numFmt numFmtId="178" formatCode="#,##0&quot;원 (부가세 포함)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>
      <alignment vertical="center"/>
    </xf>
    <xf numFmtId="0" fontId="9" fillId="3" borderId="0" xfId="0" applyFont="1" applyFill="1">
      <alignment vertical="center"/>
    </xf>
    <xf numFmtId="176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7" fontId="6" fillId="0" borderId="2" xfId="1" applyNumberFormat="1" applyFont="1" applyBorder="1" applyAlignment="1">
      <alignment vertical="center" shrinkToFit="1"/>
    </xf>
    <xf numFmtId="41" fontId="6" fillId="0" borderId="16" xfId="1" applyFont="1" applyBorder="1" applyAlignment="1">
      <alignment horizontal="center" vertical="center" shrinkToFit="1"/>
    </xf>
    <xf numFmtId="177" fontId="6" fillId="0" borderId="12" xfId="1" applyNumberFormat="1" applyFont="1" applyBorder="1" applyAlignment="1">
      <alignment vertical="center" shrinkToFit="1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shrinkToFit="1"/>
    </xf>
    <xf numFmtId="41" fontId="6" fillId="0" borderId="18" xfId="1" applyFont="1" applyBorder="1" applyAlignment="1">
      <alignment horizontal="center" vertical="center" shrinkToFit="1"/>
    </xf>
    <xf numFmtId="177" fontId="10" fillId="0" borderId="2" xfId="1" applyNumberFormat="1" applyFont="1" applyBorder="1" applyAlignment="1">
      <alignment vertical="center" shrinkToFit="1"/>
    </xf>
    <xf numFmtId="177" fontId="10" fillId="0" borderId="21" xfId="1" applyNumberFormat="1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7" fillId="3" borderId="0" xfId="0" applyNumberFormat="1" applyFont="1" applyFill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shrinkToFit="1"/>
    </xf>
    <xf numFmtId="0" fontId="12" fillId="0" borderId="8" xfId="4" applyBorder="1" applyAlignment="1">
      <alignment horizontal="center" vertical="center"/>
    </xf>
  </cellXfs>
  <cellStyles count="5">
    <cellStyle name="쉼표 [0]" xfId="1" builtinId="6"/>
    <cellStyle name="쉼표 [0] 2" xfId="3" xr:uid="{B31CD6F4-3185-4A30-B7A4-91D0059FF69F}"/>
    <cellStyle name="표준" xfId="0" builtinId="0"/>
    <cellStyle name="표준 2" xfId="2" xr:uid="{B3D5D7A5-F5F1-4A9F-B568-DD03DE0AC411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668A-366B-4C3E-86BD-6B4C3DAB7683}">
  <sheetPr>
    <pageSetUpPr fitToPage="1"/>
  </sheetPr>
  <dimension ref="A1:F51"/>
  <sheetViews>
    <sheetView tabSelected="1" topLeftCell="A4" zoomScaleNormal="100" workbookViewId="0">
      <selection activeCell="F17" sqref="F17"/>
    </sheetView>
  </sheetViews>
  <sheetFormatPr defaultColWidth="9" defaultRowHeight="17.399999999999999" x14ac:dyDescent="0.4"/>
  <cols>
    <col min="1" max="2" width="23.59765625" style="4" customWidth="1"/>
    <col min="3" max="4" width="7.59765625" style="4" customWidth="1"/>
    <col min="5" max="5" width="16.59765625" style="4" customWidth="1"/>
    <col min="6" max="6" width="23.59765625" style="4" customWidth="1"/>
    <col min="7" max="16384" width="9" style="4"/>
  </cols>
  <sheetData>
    <row r="1" spans="1:6" ht="30" customHeight="1" x14ac:dyDescent="0.4">
      <c r="A1" s="32"/>
      <c r="B1" s="28" t="s">
        <v>5</v>
      </c>
      <c r="C1" s="29"/>
      <c r="D1" s="29"/>
      <c r="E1" s="29"/>
      <c r="F1" s="9" t="s">
        <v>3</v>
      </c>
    </row>
    <row r="2" spans="1:6" ht="69.900000000000006" customHeight="1" thickBot="1" x14ac:dyDescent="0.45">
      <c r="A2" s="33"/>
      <c r="B2" s="30"/>
      <c r="C2" s="31"/>
      <c r="D2" s="31"/>
      <c r="E2" s="31"/>
      <c r="F2" s="8">
        <f ca="1">TODAY()</f>
        <v>46043</v>
      </c>
    </row>
    <row r="3" spans="1:6" ht="20.100000000000001" customHeight="1" thickBot="1" x14ac:dyDescent="0.45"/>
    <row r="4" spans="1:6" ht="22.5" customHeight="1" thickBot="1" x14ac:dyDescent="0.45">
      <c r="A4" s="35" t="s">
        <v>6</v>
      </c>
      <c r="B4" s="35"/>
      <c r="D4" s="35" t="s">
        <v>7</v>
      </c>
      <c r="E4" s="35"/>
      <c r="F4" s="35"/>
    </row>
    <row r="5" spans="1:6" s="1" customFormat="1" ht="33" customHeight="1" x14ac:dyDescent="0.4">
      <c r="A5" s="34" t="s">
        <v>52</v>
      </c>
      <c r="B5" s="34"/>
      <c r="D5" s="34" t="s">
        <v>14</v>
      </c>
      <c r="E5" s="34"/>
      <c r="F5" s="34"/>
    </row>
    <row r="6" spans="1:6" ht="24.9" customHeight="1" x14ac:dyDescent="0.4">
      <c r="A6" s="2" t="s">
        <v>1</v>
      </c>
      <c r="B6" s="2" t="s">
        <v>53</v>
      </c>
      <c r="D6" s="36" t="s">
        <v>8</v>
      </c>
      <c r="E6" s="36"/>
      <c r="F6" s="2" t="s">
        <v>9</v>
      </c>
    </row>
    <row r="7" spans="1:6" ht="24.9" customHeight="1" x14ac:dyDescent="0.4">
      <c r="A7" s="2" t="s">
        <v>0</v>
      </c>
      <c r="B7" s="2" t="s">
        <v>54</v>
      </c>
      <c r="D7" s="36" t="s">
        <v>1</v>
      </c>
      <c r="E7" s="36"/>
      <c r="F7" s="2"/>
    </row>
    <row r="8" spans="1:6" ht="24.9" customHeight="1" x14ac:dyDescent="0.4">
      <c r="A8" s="2" t="s">
        <v>2</v>
      </c>
      <c r="B8" s="42" t="s">
        <v>55</v>
      </c>
      <c r="D8" s="36" t="s">
        <v>0</v>
      </c>
      <c r="E8" s="36"/>
      <c r="F8" s="2" t="s">
        <v>28</v>
      </c>
    </row>
    <row r="9" spans="1:6" ht="24.9" customHeight="1" thickBot="1" x14ac:dyDescent="0.45">
      <c r="A9" s="21" t="s">
        <v>4</v>
      </c>
      <c r="B9" s="21"/>
      <c r="D9" s="21" t="s">
        <v>2</v>
      </c>
      <c r="E9" s="21"/>
      <c r="F9" s="3" t="s">
        <v>15</v>
      </c>
    </row>
    <row r="10" spans="1:6" ht="9.9" customHeight="1" x14ac:dyDescent="0.4">
      <c r="A10" s="5"/>
      <c r="B10" s="5"/>
    </row>
    <row r="11" spans="1:6" ht="30" customHeight="1" x14ac:dyDescent="0.4">
      <c r="A11" s="25" t="s">
        <v>10</v>
      </c>
      <c r="B11" s="25"/>
      <c r="C11" s="7"/>
      <c r="D11" s="22">
        <f>F42</f>
        <v>32418845.800000001</v>
      </c>
      <c r="E11" s="22"/>
      <c r="F11" s="22"/>
    </row>
    <row r="12" spans="1:6" ht="9.9" customHeight="1" x14ac:dyDescent="0.4"/>
    <row r="13" spans="1:6" ht="24.9" customHeight="1" x14ac:dyDescent="0.4">
      <c r="A13" s="23" t="s">
        <v>17</v>
      </c>
      <c r="B13" s="24"/>
      <c r="C13" s="13" t="s">
        <v>18</v>
      </c>
      <c r="D13" s="13" t="s">
        <v>19</v>
      </c>
      <c r="E13" s="13" t="s">
        <v>20</v>
      </c>
      <c r="F13" s="14" t="s">
        <v>21</v>
      </c>
    </row>
    <row r="14" spans="1:6" ht="24.9" customHeight="1" x14ac:dyDescent="0.4">
      <c r="A14" s="26" t="s">
        <v>30</v>
      </c>
      <c r="B14" s="27"/>
      <c r="C14" s="15" t="s">
        <v>25</v>
      </c>
      <c r="D14" s="16">
        <v>862</v>
      </c>
      <c r="E14" s="16">
        <v>2000</v>
      </c>
      <c r="F14" s="12">
        <f>D14*E14</f>
        <v>1724000</v>
      </c>
    </row>
    <row r="15" spans="1:6" ht="24.9" customHeight="1" x14ac:dyDescent="0.4">
      <c r="A15" s="19" t="s">
        <v>31</v>
      </c>
      <c r="B15" s="20"/>
      <c r="C15" s="15" t="s">
        <v>25</v>
      </c>
      <c r="D15" s="11">
        <v>20</v>
      </c>
      <c r="E15" s="11">
        <v>10000</v>
      </c>
      <c r="F15" s="10">
        <f t="shared" ref="F15:F39" si="0">D15*E15</f>
        <v>200000</v>
      </c>
    </row>
    <row r="16" spans="1:6" ht="24.9" customHeight="1" x14ac:dyDescent="0.4">
      <c r="A16" s="19" t="s">
        <v>32</v>
      </c>
      <c r="B16" s="20"/>
      <c r="C16" s="15" t="s">
        <v>25</v>
      </c>
      <c r="D16" s="11">
        <v>32</v>
      </c>
      <c r="E16" s="11">
        <v>21400</v>
      </c>
      <c r="F16" s="10">
        <f t="shared" si="0"/>
        <v>684800</v>
      </c>
    </row>
    <row r="17" spans="1:6" ht="24.9" customHeight="1" x14ac:dyDescent="0.4">
      <c r="A17" s="19" t="s">
        <v>33</v>
      </c>
      <c r="B17" s="20"/>
      <c r="C17" s="15" t="s">
        <v>25</v>
      </c>
      <c r="D17" s="11">
        <v>48</v>
      </c>
      <c r="E17" s="11">
        <v>31540</v>
      </c>
      <c r="F17" s="10">
        <f t="shared" si="0"/>
        <v>1513920</v>
      </c>
    </row>
    <row r="18" spans="1:6" ht="24.9" customHeight="1" x14ac:dyDescent="0.4">
      <c r="A18" s="19" t="s">
        <v>34</v>
      </c>
      <c r="B18" s="20"/>
      <c r="C18" s="15" t="s">
        <v>25</v>
      </c>
      <c r="D18" s="11">
        <v>54</v>
      </c>
      <c r="E18" s="11">
        <v>11520</v>
      </c>
      <c r="F18" s="10">
        <f t="shared" si="0"/>
        <v>622080</v>
      </c>
    </row>
    <row r="19" spans="1:6" ht="24.9" customHeight="1" x14ac:dyDescent="0.4">
      <c r="A19" s="19" t="s">
        <v>35</v>
      </c>
      <c r="B19" s="20"/>
      <c r="C19" s="15" t="s">
        <v>25</v>
      </c>
      <c r="D19" s="11">
        <v>65</v>
      </c>
      <c r="E19" s="11">
        <v>7500</v>
      </c>
      <c r="F19" s="10">
        <f t="shared" si="0"/>
        <v>487500</v>
      </c>
    </row>
    <row r="20" spans="1:6" ht="24.9" customHeight="1" x14ac:dyDescent="0.4">
      <c r="A20" s="19" t="s">
        <v>36</v>
      </c>
      <c r="B20" s="20"/>
      <c r="C20" s="15" t="s">
        <v>25</v>
      </c>
      <c r="D20" s="11">
        <v>21</v>
      </c>
      <c r="E20" s="11">
        <v>3500</v>
      </c>
      <c r="F20" s="10">
        <f t="shared" si="0"/>
        <v>73500</v>
      </c>
    </row>
    <row r="21" spans="1:6" ht="24.9" customHeight="1" x14ac:dyDescent="0.4">
      <c r="A21" s="19" t="s">
        <v>37</v>
      </c>
      <c r="B21" s="20"/>
      <c r="C21" s="15" t="s">
        <v>25</v>
      </c>
      <c r="D21" s="11">
        <v>32</v>
      </c>
      <c r="E21" s="11">
        <v>44500</v>
      </c>
      <c r="F21" s="10">
        <f t="shared" si="0"/>
        <v>1424000</v>
      </c>
    </row>
    <row r="22" spans="1:6" ht="24.9" customHeight="1" x14ac:dyDescent="0.4">
      <c r="A22" s="26" t="s">
        <v>30</v>
      </c>
      <c r="B22" s="27"/>
      <c r="C22" s="15" t="s">
        <v>25</v>
      </c>
      <c r="D22" s="16">
        <v>500</v>
      </c>
      <c r="E22" s="16">
        <v>2000</v>
      </c>
      <c r="F22" s="12">
        <f>D22*E22</f>
        <v>1000000</v>
      </c>
    </row>
    <row r="23" spans="1:6" ht="24.9" customHeight="1" x14ac:dyDescent="0.4">
      <c r="A23" s="19" t="s">
        <v>38</v>
      </c>
      <c r="B23" s="20"/>
      <c r="C23" s="15" t="s">
        <v>25</v>
      </c>
      <c r="D23" s="11">
        <v>56</v>
      </c>
      <c r="E23" s="11">
        <v>12000</v>
      </c>
      <c r="F23" s="10">
        <f t="shared" si="0"/>
        <v>672000</v>
      </c>
    </row>
    <row r="24" spans="1:6" ht="24.9" customHeight="1" x14ac:dyDescent="0.4">
      <c r="A24" s="19" t="s">
        <v>39</v>
      </c>
      <c r="B24" s="20"/>
      <c r="C24" s="15" t="s">
        <v>25</v>
      </c>
      <c r="D24" s="11">
        <v>21</v>
      </c>
      <c r="E24" s="11">
        <v>11000</v>
      </c>
      <c r="F24" s="10">
        <f t="shared" si="0"/>
        <v>231000</v>
      </c>
    </row>
    <row r="25" spans="1:6" ht="24.9" customHeight="1" x14ac:dyDescent="0.4">
      <c r="A25" s="19" t="s">
        <v>40</v>
      </c>
      <c r="B25" s="20"/>
      <c r="C25" s="15" t="s">
        <v>25</v>
      </c>
      <c r="D25" s="11">
        <v>23</v>
      </c>
      <c r="E25" s="11">
        <v>45000</v>
      </c>
      <c r="F25" s="10">
        <f t="shared" si="0"/>
        <v>1035000</v>
      </c>
    </row>
    <row r="26" spans="1:6" ht="24.9" customHeight="1" x14ac:dyDescent="0.4">
      <c r="A26" s="19" t="s">
        <v>41</v>
      </c>
      <c r="B26" s="20"/>
      <c r="C26" s="15" t="s">
        <v>25</v>
      </c>
      <c r="D26" s="11">
        <v>21</v>
      </c>
      <c r="E26" s="11">
        <v>32000</v>
      </c>
      <c r="F26" s="10">
        <f t="shared" si="0"/>
        <v>672000</v>
      </c>
    </row>
    <row r="27" spans="1:6" ht="24.9" customHeight="1" x14ac:dyDescent="0.4">
      <c r="A27" s="19" t="s">
        <v>42</v>
      </c>
      <c r="B27" s="20"/>
      <c r="C27" s="15" t="s">
        <v>25</v>
      </c>
      <c r="D27" s="11">
        <v>56</v>
      </c>
      <c r="E27" s="11">
        <v>33000</v>
      </c>
      <c r="F27" s="10">
        <f t="shared" si="0"/>
        <v>1848000</v>
      </c>
    </row>
    <row r="28" spans="1:6" ht="24.9" customHeight="1" x14ac:dyDescent="0.4">
      <c r="A28" s="19" t="s">
        <v>43</v>
      </c>
      <c r="B28" s="20"/>
      <c r="C28" s="15" t="s">
        <v>25</v>
      </c>
      <c r="D28" s="11">
        <v>48</v>
      </c>
      <c r="E28" s="11">
        <v>12500</v>
      </c>
      <c r="F28" s="10">
        <f t="shared" si="0"/>
        <v>600000</v>
      </c>
    </row>
    <row r="29" spans="1:6" ht="24.75" customHeight="1" x14ac:dyDescent="0.4">
      <c r="A29" s="19" t="s">
        <v>44</v>
      </c>
      <c r="B29" s="20"/>
      <c r="C29" s="15" t="s">
        <v>25</v>
      </c>
      <c r="D29" s="11">
        <v>54</v>
      </c>
      <c r="E29" s="11">
        <v>13850</v>
      </c>
      <c r="F29" s="10">
        <f t="shared" si="0"/>
        <v>747900</v>
      </c>
    </row>
    <row r="30" spans="1:6" ht="24.9" customHeight="1" x14ac:dyDescent="0.4">
      <c r="A30" s="19" t="s">
        <v>45</v>
      </c>
      <c r="B30" s="20"/>
      <c r="C30" s="15" t="s">
        <v>25</v>
      </c>
      <c r="D30" s="11">
        <v>68</v>
      </c>
      <c r="E30" s="11">
        <v>64200</v>
      </c>
      <c r="F30" s="10">
        <f t="shared" si="0"/>
        <v>4365600</v>
      </c>
    </row>
    <row r="31" spans="1:6" ht="24.9" customHeight="1" x14ac:dyDescent="0.4">
      <c r="A31" s="19" t="s">
        <v>46</v>
      </c>
      <c r="B31" s="20"/>
      <c r="C31" s="15" t="s">
        <v>25</v>
      </c>
      <c r="D31" s="11">
        <v>62</v>
      </c>
      <c r="E31" s="11">
        <v>35055</v>
      </c>
      <c r="F31" s="10">
        <f t="shared" si="0"/>
        <v>2173410</v>
      </c>
    </row>
    <row r="32" spans="1:6" ht="24.9" customHeight="1" x14ac:dyDescent="0.4">
      <c r="A32" s="19" t="s">
        <v>47</v>
      </c>
      <c r="B32" s="20"/>
      <c r="C32" s="15" t="s">
        <v>25</v>
      </c>
      <c r="D32" s="11">
        <v>34</v>
      </c>
      <c r="E32" s="11">
        <v>45224</v>
      </c>
      <c r="F32" s="10">
        <f t="shared" si="0"/>
        <v>1537616</v>
      </c>
    </row>
    <row r="33" spans="1:6" ht="24.9" customHeight="1" x14ac:dyDescent="0.4">
      <c r="A33" s="19" t="s">
        <v>48</v>
      </c>
      <c r="B33" s="20"/>
      <c r="C33" s="15" t="s">
        <v>25</v>
      </c>
      <c r="D33" s="11">
        <v>42</v>
      </c>
      <c r="E33" s="11">
        <v>22248</v>
      </c>
      <c r="F33" s="10">
        <f t="shared" si="0"/>
        <v>934416</v>
      </c>
    </row>
    <row r="34" spans="1:6" ht="24.9" customHeight="1" x14ac:dyDescent="0.4">
      <c r="A34" s="19" t="s">
        <v>49</v>
      </c>
      <c r="B34" s="20"/>
      <c r="C34" s="15" t="s">
        <v>25</v>
      </c>
      <c r="D34" s="11">
        <v>12</v>
      </c>
      <c r="E34" s="11">
        <v>44558</v>
      </c>
      <c r="F34" s="10">
        <f t="shared" ref="F34:F35" si="1">D34*E34</f>
        <v>534696</v>
      </c>
    </row>
    <row r="35" spans="1:6" ht="24.9" customHeight="1" x14ac:dyDescent="0.4">
      <c r="A35" s="19" t="s">
        <v>50</v>
      </c>
      <c r="B35" s="20"/>
      <c r="C35" s="15" t="s">
        <v>25</v>
      </c>
      <c r="D35" s="11">
        <v>32</v>
      </c>
      <c r="E35" s="11">
        <v>65464</v>
      </c>
      <c r="F35" s="10">
        <f t="shared" si="1"/>
        <v>2094848</v>
      </c>
    </row>
    <row r="36" spans="1:6" ht="24.9" customHeight="1" x14ac:dyDescent="0.4">
      <c r="A36" s="19" t="s">
        <v>51</v>
      </c>
      <c r="B36" s="20"/>
      <c r="C36" s="15" t="s">
        <v>25</v>
      </c>
      <c r="D36" s="11">
        <v>54</v>
      </c>
      <c r="E36" s="11">
        <v>24248</v>
      </c>
      <c r="F36" s="10">
        <f>D36*E36</f>
        <v>1309392</v>
      </c>
    </row>
    <row r="37" spans="1:6" ht="24.9" customHeight="1" x14ac:dyDescent="0.4">
      <c r="A37" s="19" t="s">
        <v>27</v>
      </c>
      <c r="B37" s="20"/>
      <c r="C37" s="15" t="s">
        <v>25</v>
      </c>
      <c r="D37" s="16">
        <v>862</v>
      </c>
      <c r="E37" s="11">
        <v>3000</v>
      </c>
      <c r="F37" s="10">
        <f t="shared" si="0"/>
        <v>2586000</v>
      </c>
    </row>
    <row r="38" spans="1:6" ht="24.9" customHeight="1" x14ac:dyDescent="0.4">
      <c r="A38" s="19" t="s">
        <v>29</v>
      </c>
      <c r="B38" s="20"/>
      <c r="C38" s="15" t="s">
        <v>25</v>
      </c>
      <c r="D38" s="11">
        <v>2000</v>
      </c>
      <c r="E38" s="11">
        <v>200</v>
      </c>
      <c r="F38" s="10">
        <f t="shared" si="0"/>
        <v>400000</v>
      </c>
    </row>
    <row r="39" spans="1:6" ht="24.9" customHeight="1" x14ac:dyDescent="0.4">
      <c r="A39" s="19"/>
      <c r="B39" s="20"/>
      <c r="C39" s="15"/>
      <c r="D39" s="11"/>
      <c r="E39" s="11"/>
      <c r="F39" s="10">
        <f t="shared" si="0"/>
        <v>0</v>
      </c>
    </row>
    <row r="40" spans="1:6" ht="24.9" customHeight="1" x14ac:dyDescent="0.4">
      <c r="A40" s="19"/>
      <c r="B40" s="20"/>
      <c r="C40" s="38" t="s">
        <v>22</v>
      </c>
      <c r="D40" s="38"/>
      <c r="E40" s="38"/>
      <c r="F40" s="17">
        <f>SUM(F14:F39)</f>
        <v>29471678</v>
      </c>
    </row>
    <row r="41" spans="1:6" ht="24.9" customHeight="1" x14ac:dyDescent="0.4">
      <c r="A41" s="19"/>
      <c r="B41" s="20"/>
      <c r="C41" s="38" t="s">
        <v>23</v>
      </c>
      <c r="D41" s="38"/>
      <c r="E41" s="38"/>
      <c r="F41" s="17">
        <f>F40*0.1</f>
        <v>2947167.8000000003</v>
      </c>
    </row>
    <row r="42" spans="1:6" ht="24.9" customHeight="1" x14ac:dyDescent="0.4">
      <c r="A42" s="39"/>
      <c r="B42" s="40"/>
      <c r="C42" s="41" t="s">
        <v>24</v>
      </c>
      <c r="D42" s="41"/>
      <c r="E42" s="41"/>
      <c r="F42" s="18">
        <f>SUM(F40:F41)</f>
        <v>32418845.800000001</v>
      </c>
    </row>
    <row r="43" spans="1:6" ht="20.100000000000001" customHeight="1" thickBot="1" x14ac:dyDescent="0.45"/>
    <row r="44" spans="1:6" ht="24.9" customHeight="1" x14ac:dyDescent="0.4">
      <c r="A44" s="37" t="s">
        <v>12</v>
      </c>
      <c r="B44" s="37"/>
      <c r="C44" s="37"/>
      <c r="D44" s="37"/>
      <c r="E44" s="37"/>
      <c r="F44" s="37"/>
    </row>
    <row r="45" spans="1:6" ht="24.9" customHeight="1" x14ac:dyDescent="0.4">
      <c r="A45" s="4" t="s">
        <v>26</v>
      </c>
    </row>
    <row r="46" spans="1:6" ht="24.9" customHeight="1" x14ac:dyDescent="0.4">
      <c r="A46" s="4" t="s">
        <v>11</v>
      </c>
    </row>
    <row r="47" spans="1:6" ht="24.9" customHeight="1" x14ac:dyDescent="0.4">
      <c r="A47" s="4" t="s">
        <v>13</v>
      </c>
    </row>
    <row r="48" spans="1:6" ht="24.9" customHeight="1" x14ac:dyDescent="0.4">
      <c r="A48" s="4" t="s">
        <v>16</v>
      </c>
    </row>
    <row r="49" spans="1:6" ht="24.9" customHeight="1" x14ac:dyDescent="0.4"/>
    <row r="50" spans="1:6" ht="24.9" customHeight="1" x14ac:dyDescent="0.4"/>
    <row r="51" spans="1:6" ht="24.9" customHeight="1" thickBot="1" x14ac:dyDescent="0.45">
      <c r="A51" s="6"/>
      <c r="B51" s="6"/>
      <c r="C51" s="6"/>
      <c r="D51" s="6"/>
      <c r="E51" s="6"/>
      <c r="F51" s="6"/>
    </row>
  </sheetData>
  <mergeCells count="47">
    <mergeCell ref="A27:B27"/>
    <mergeCell ref="A29:B29"/>
    <mergeCell ref="A30:B30"/>
    <mergeCell ref="A31:B31"/>
    <mergeCell ref="A32:B32"/>
    <mergeCell ref="A44:F44"/>
    <mergeCell ref="A14:B14"/>
    <mergeCell ref="A15:B15"/>
    <mergeCell ref="A40:B40"/>
    <mergeCell ref="C40:E40"/>
    <mergeCell ref="A41:B41"/>
    <mergeCell ref="C41:E41"/>
    <mergeCell ref="A42:B42"/>
    <mergeCell ref="C42:E42"/>
    <mergeCell ref="A34:B34"/>
    <mergeCell ref="A35:B35"/>
    <mergeCell ref="A28:B28"/>
    <mergeCell ref="A39:B39"/>
    <mergeCell ref="A33:B33"/>
    <mergeCell ref="A37:B37"/>
    <mergeCell ref="A38:B38"/>
    <mergeCell ref="B1:E2"/>
    <mergeCell ref="A1:A2"/>
    <mergeCell ref="A5:B5"/>
    <mergeCell ref="A4:B4"/>
    <mergeCell ref="A9:B9"/>
    <mergeCell ref="D4:F4"/>
    <mergeCell ref="D8:E8"/>
    <mergeCell ref="D7:E7"/>
    <mergeCell ref="D6:E6"/>
    <mergeCell ref="D5:F5"/>
    <mergeCell ref="A36:B36"/>
    <mergeCell ref="D9:E9"/>
    <mergeCell ref="D11:F11"/>
    <mergeCell ref="A13:B13"/>
    <mergeCell ref="A11:B11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honeticPr fontId="2" type="noConversion"/>
  <hyperlinks>
    <hyperlink ref="B8" r:id="rId1" xr:uid="{7A195B23-3941-4DA2-8D6D-EFD354AD4080}"/>
  </hyperlinks>
  <pageMargins left="0.7" right="0.7" top="0.75" bottom="0.75" header="0.3" footer="0.3"/>
  <pageSetup paperSize="9" scale="78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김주임(</dc:creator>
  <cp:lastModifiedBy>현호 이</cp:lastModifiedBy>
  <cp:lastPrinted>2024-11-12T06:59:48Z</cp:lastPrinted>
  <dcterms:created xsi:type="dcterms:W3CDTF">2024-01-11T05:40:14Z</dcterms:created>
  <dcterms:modified xsi:type="dcterms:W3CDTF">2026-01-21T11:00:12Z</dcterms:modified>
</cp:coreProperties>
</file>